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a\Downloads\"/>
    </mc:Choice>
  </mc:AlternateContent>
  <xr:revisionPtr revIDLastSave="0" documentId="13_ncr:1_{4A60D4AA-06CF-4BC9-BEEE-7A48FD5817B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. Summary Dashboard" sheetId="1" r:id="rId1"/>
    <sheet name="1. Ministries" sheetId="2" r:id="rId2"/>
    <sheet name="2. States" sheetId="3" r:id="rId3"/>
    <sheet name="3. Schemes" sheetId="4" r:id="rId4"/>
    <sheet name="4. Union Territories" sheetId="5" r:id="rId5"/>
    <sheet name="5. Macroeconomics" sheetId="6" r:id="rId6"/>
  </sheets>
  <definedNames>
    <definedName name="_xlnm._FilterDatabase" localSheetId="1" hidden="1">'1. Ministries'!$B$5:$I$14</definedName>
    <definedName name="_xlnm._FilterDatabase" localSheetId="2" hidden="1">'2. States'!$B$5:$I$35</definedName>
    <definedName name="_xlnm._FilterDatabase" localSheetId="3" hidden="1">'3. Schemes'!$B$5:$I$15</definedName>
    <definedName name="_xlnm._FilterDatabase" localSheetId="4" hidden="1">'4. Union Territories'!$B$5:$I$14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5" l="1"/>
  <c r="F14" i="5"/>
  <c r="E14" i="5"/>
  <c r="D14" i="5"/>
  <c r="C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H14" i="5" s="1"/>
  <c r="G15" i="4"/>
  <c r="F15" i="4"/>
  <c r="E15" i="4"/>
  <c r="D15" i="4"/>
  <c r="C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H15" i="4" s="1"/>
  <c r="G35" i="3"/>
  <c r="F35" i="3"/>
  <c r="E35" i="3"/>
  <c r="D35" i="3"/>
  <c r="C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H35" i="3" s="1"/>
  <c r="G14" i="2"/>
  <c r="F14" i="2"/>
  <c r="E14" i="2"/>
  <c r="D14" i="2"/>
  <c r="C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H14" i="2" s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G15" i="1"/>
  <c r="F15" i="1"/>
  <c r="E15" i="1"/>
  <c r="D15" i="1"/>
  <c r="C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H15" i="1" s="1"/>
</calcChain>
</file>

<file path=xl/sharedStrings.xml><?xml version="1.0" encoding="utf-8"?>
<sst xmlns="http://schemas.openxmlformats.org/spreadsheetml/2006/main" count="158" uniqueCount="89">
  <si>
    <t xml:space="preserve">  MINISTRY-WISE ALLOCATIONS (₹ Crores)</t>
  </si>
  <si>
    <t>Ministry</t>
  </si>
  <si>
    <t>2019-20</t>
  </si>
  <si>
    <t>2020-21</t>
  </si>
  <si>
    <t>2021-22</t>
  </si>
  <si>
    <t>2022-23</t>
  </si>
  <si>
    <t>2023-24</t>
  </si>
  <si>
    <t>Total</t>
  </si>
  <si>
    <t>CAGR</t>
  </si>
  <si>
    <t>Ministry of Defence</t>
  </si>
  <si>
    <t>Ministry of Road Transport &amp; Highways</t>
  </si>
  <si>
    <t>Ministry of Railways</t>
  </si>
  <si>
    <t>Ministry of Consumer Affairs, Food &amp; Public Distribution</t>
  </si>
  <si>
    <t>Ministry of Home Affairs</t>
  </si>
  <si>
    <t>Ministry of Rural Development</t>
  </si>
  <si>
    <t>Ministry of Education</t>
  </si>
  <si>
    <t>Ministry of Health &amp; Family Welfare</t>
  </si>
  <si>
    <t xml:space="preserve">  CENTRAL SCHEME ALLOCATIONS (₹ Crores)</t>
  </si>
  <si>
    <t>Scheme</t>
  </si>
  <si>
    <t xml:space="preserve">PM Awash Yojna </t>
  </si>
  <si>
    <t>Ayushman Bharat Yojna</t>
  </si>
  <si>
    <t>Beti Bachao Beti Padhao</t>
  </si>
  <si>
    <t>Mid-day Meal Scheme</t>
  </si>
  <si>
    <t>Sarba Shiksha Abhiyan</t>
  </si>
  <si>
    <t>Pradhan Mantri Ujjwala Yojna</t>
  </si>
  <si>
    <t>Pradhanmantri Gram Sadhak Yojna</t>
  </si>
  <si>
    <t xml:space="preserve">Khelo India </t>
  </si>
  <si>
    <t>Startup India Seed Fund Scheme</t>
  </si>
  <si>
    <t xml:space="preserve">  MACROECONOMIC INDICATORS (%)</t>
  </si>
  <si>
    <t>Fiscal Year</t>
  </si>
  <si>
    <t>GDP Growth %</t>
  </si>
  <si>
    <t>Fiscal Deficit / GDP %</t>
  </si>
  <si>
    <t>Tax / GDP %</t>
  </si>
  <si>
    <t>Revenue Deficit / GDP %</t>
  </si>
  <si>
    <t>Ministries — Union Budget FY 2019–20 to 2023–24</t>
  </si>
  <si>
    <t>Source: indiabudget.gov.in | All values in ₹ Crores</t>
  </si>
  <si>
    <t>Total (₹ Cr)</t>
  </si>
  <si>
    <t>CAGR FY20→24</t>
  </si>
  <si>
    <t>GRAND TOTAL</t>
  </si>
  <si>
    <t>States — Union Budget FY 2019–20 to 2023–24</t>
  </si>
  <si>
    <t>State</t>
  </si>
  <si>
    <t>% Growth FY20→24</t>
  </si>
  <si>
    <t>Maharashtra</t>
  </si>
  <si>
    <t>Uttar Pradesh</t>
  </si>
  <si>
    <t>West Bengal</t>
  </si>
  <si>
    <t>Tamil Nadu</t>
  </si>
  <si>
    <t>Rajasthan</t>
  </si>
  <si>
    <t>Madhya Pradesh</t>
  </si>
  <si>
    <t>Karnataka</t>
  </si>
  <si>
    <t>Andhra Pradesh</t>
  </si>
  <si>
    <t>Bihar</t>
  </si>
  <si>
    <t>Odisha</t>
  </si>
  <si>
    <t>Telangana</t>
  </si>
  <si>
    <t>Jharkhand</t>
  </si>
  <si>
    <t>Gujarat</t>
  </si>
  <si>
    <t>Chhattisgarh</t>
  </si>
  <si>
    <t>Jammu &amp; Kashmir</t>
  </si>
  <si>
    <t>Himachal Pradesh</t>
  </si>
  <si>
    <t>Haryana</t>
  </si>
  <si>
    <t>Uttarakhand</t>
  </si>
  <si>
    <t>Assam</t>
  </si>
  <si>
    <t>Goa</t>
  </si>
  <si>
    <t>Manipur</t>
  </si>
  <si>
    <t>Meghalaya</t>
  </si>
  <si>
    <t>Mizoram</t>
  </si>
  <si>
    <t>Nagaland</t>
  </si>
  <si>
    <t>Tripura</t>
  </si>
  <si>
    <t>Sikkim</t>
  </si>
  <si>
    <t>Arunachal Pradesh</t>
  </si>
  <si>
    <t>Kerala</t>
  </si>
  <si>
    <t>Punjab</t>
  </si>
  <si>
    <t>Schemes — Union Budget FY 2019–20 to 2023–24</t>
  </si>
  <si>
    <t>Union Territories — Union Budget FY 2019–20 to 2023–24</t>
  </si>
  <si>
    <t>Union Territory</t>
  </si>
  <si>
    <t xml:space="preserve">Andaman&amp;nicobar island </t>
  </si>
  <si>
    <t>Chandigarh</t>
  </si>
  <si>
    <t xml:space="preserve">Delhi(NCT) </t>
  </si>
  <si>
    <t>Dadra and nagar haveli and daman and diu</t>
  </si>
  <si>
    <t>Jammu &amp; kashmir</t>
  </si>
  <si>
    <t>Ladakh</t>
  </si>
  <si>
    <t>Lakshadweep</t>
  </si>
  <si>
    <t>Puducherry</t>
  </si>
  <si>
    <t>Macroeconomic Indicators — FY 2019–20 to 2023–24</t>
  </si>
  <si>
    <t>Source: RBI Annual Report, Ministry of Finance | All figures in %</t>
  </si>
  <si>
    <t>GDP Growth (%)</t>
  </si>
  <si>
    <t>Fiscal Deficit (% GDP)</t>
  </si>
  <si>
    <t>Tax-to-GDP (%)</t>
  </si>
  <si>
    <t>Revenue Deficit (% GDP)</t>
  </si>
  <si>
    <t xml:space="preserve"> Indian Union Budget Analysis — Summary (FY 2019–20 to 2023–24)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</si>
</sst>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F78166"/>
      <name val="Arial"/>
      <charset val="1"/>
    </font>
    <font>
      <i/>
      <sz val="8"/>
      <color rgb="FF8B949E"/>
      <name val="Arial"/>
      <charset val="1"/>
    </font>
    <font>
      <b/>
      <sz val="10"/>
      <color rgb="FFFFFFFF"/>
      <name val="Arial"/>
      <charset val="1"/>
    </font>
    <font>
      <sz val="9"/>
      <color rgb="FF0E1117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78166"/>
        <bgColor rgb="FFFF99CC"/>
      </patternFill>
    </fill>
    <fill>
      <patternFill patternType="solid">
        <fgColor rgb="FF1C2330"/>
        <bgColor rgb="FF0E1117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3" fontId="5" fillId="4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/>
    </xf>
    <xf numFmtId="164" fontId="5" fillId="5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3" fontId="7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CCFFFF"/>
      <rgbColor rgb="FF660066"/>
      <rgbColor rgb="FFF78166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B949E"/>
      <rgbColor rgb="FF003366"/>
      <rgbColor rgb="FF339966"/>
      <rgbColor rgb="FF0E1117"/>
      <rgbColor rgb="FF333300"/>
      <rgbColor rgb="FF993300"/>
      <rgbColor rgb="FF993366"/>
      <rgbColor rgb="FF333399"/>
      <rgbColor rgb="FF1C23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6"/>
  <sheetViews>
    <sheetView showGridLines="0" tabSelected="1" zoomScaleNormal="100" workbookViewId="0">
      <selection activeCell="I30" sqref="I30"/>
    </sheetView>
  </sheetViews>
  <sheetFormatPr defaultColWidth="8.6640625" defaultRowHeight="14.4" x14ac:dyDescent="0.3"/>
  <cols>
    <col min="1" max="1" width="2" customWidth="1"/>
    <col min="2" max="2" width="48" customWidth="1"/>
    <col min="3" max="7" width="12" customWidth="1"/>
    <col min="8" max="9" width="14" customWidth="1"/>
  </cols>
  <sheetData>
    <row r="1" spans="2:9" ht="7.5" customHeight="1" x14ac:dyDescent="0.3"/>
    <row r="2" spans="2:9" ht="30" customHeight="1" x14ac:dyDescent="0.3">
      <c r="B2" s="3" t="s">
        <v>88</v>
      </c>
      <c r="C2" s="3"/>
      <c r="D2" s="3"/>
      <c r="E2" s="3"/>
      <c r="F2" s="3"/>
      <c r="G2" s="3"/>
      <c r="H2" s="3"/>
      <c r="I2" s="3"/>
    </row>
    <row r="3" spans="2:9" x14ac:dyDescent="0.3">
      <c r="B3" s="2"/>
      <c r="C3" s="2"/>
      <c r="D3" s="2"/>
      <c r="E3" s="2"/>
      <c r="F3" s="2"/>
      <c r="G3" s="2"/>
      <c r="H3" s="2"/>
      <c r="I3" s="2"/>
    </row>
    <row r="5" spans="2:9" ht="21.75" customHeight="1" x14ac:dyDescent="0.3">
      <c r="B5" s="1" t="s">
        <v>0</v>
      </c>
      <c r="C5" s="1"/>
      <c r="D5" s="1"/>
      <c r="E5" s="1"/>
      <c r="F5" s="1"/>
      <c r="G5" s="1"/>
      <c r="H5" s="1"/>
      <c r="I5" s="1"/>
    </row>
    <row r="6" spans="2:9" ht="27.75" customHeight="1" x14ac:dyDescent="0.3"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</row>
    <row r="7" spans="2:9" x14ac:dyDescent="0.3">
      <c r="B7" s="5" t="s">
        <v>9</v>
      </c>
      <c r="C7" s="6">
        <v>431000</v>
      </c>
      <c r="D7" s="6">
        <v>471000</v>
      </c>
      <c r="E7" s="6">
        <v>478000</v>
      </c>
      <c r="F7" s="6">
        <v>525000</v>
      </c>
      <c r="G7" s="6">
        <v>593000</v>
      </c>
      <c r="H7" s="7">
        <f t="shared" ref="H7:H14" si="0">SUM(C7:G7)</f>
        <v>2498000</v>
      </c>
      <c r="I7" s="8">
        <f t="shared" ref="I7:I14" si="1">IFERROR((G7/C7)^(1/4)-1,"")</f>
        <v>8.3039648494371621E-2</v>
      </c>
    </row>
    <row r="8" spans="2:9" x14ac:dyDescent="0.3">
      <c r="B8" s="9" t="s">
        <v>10</v>
      </c>
      <c r="C8" s="10">
        <v>83016</v>
      </c>
      <c r="D8" s="10">
        <v>94257</v>
      </c>
      <c r="E8" s="10">
        <v>118000</v>
      </c>
      <c r="F8" s="10">
        <v>199000</v>
      </c>
      <c r="G8" s="10">
        <v>270000</v>
      </c>
      <c r="H8" s="11">
        <f t="shared" si="0"/>
        <v>764273</v>
      </c>
      <c r="I8" s="12">
        <f t="shared" si="1"/>
        <v>0.34292107707337038</v>
      </c>
    </row>
    <row r="9" spans="2:9" x14ac:dyDescent="0.3">
      <c r="B9" s="5" t="s">
        <v>11</v>
      </c>
      <c r="C9" s="6">
        <v>68018</v>
      </c>
      <c r="D9" s="6">
        <v>72215</v>
      </c>
      <c r="E9" s="6">
        <v>110000</v>
      </c>
      <c r="F9" s="6">
        <v>140000</v>
      </c>
      <c r="G9" s="6">
        <v>222000</v>
      </c>
      <c r="H9" s="7">
        <f t="shared" si="0"/>
        <v>612233</v>
      </c>
      <c r="I9" s="8">
        <f t="shared" si="1"/>
        <v>0.34410216046183195</v>
      </c>
    </row>
    <row r="10" spans="2:9" x14ac:dyDescent="0.3">
      <c r="B10" s="9" t="s">
        <v>12</v>
      </c>
      <c r="C10" s="10">
        <v>117000</v>
      </c>
      <c r="D10" s="10">
        <v>124000</v>
      </c>
      <c r="E10" s="10">
        <v>242000</v>
      </c>
      <c r="F10" s="10">
        <v>206000</v>
      </c>
      <c r="G10" s="10">
        <v>200000</v>
      </c>
      <c r="H10" s="11">
        <f t="shared" si="0"/>
        <v>889000</v>
      </c>
      <c r="I10" s="12">
        <f t="shared" si="1"/>
        <v>0.14343382008808314</v>
      </c>
    </row>
    <row r="11" spans="2:9" x14ac:dyDescent="0.3">
      <c r="B11" s="5" t="s">
        <v>13</v>
      </c>
      <c r="C11" s="6">
        <v>134000</v>
      </c>
      <c r="D11" s="6">
        <v>167000</v>
      </c>
      <c r="E11" s="6">
        <v>149000</v>
      </c>
      <c r="F11" s="6">
        <v>166000</v>
      </c>
      <c r="G11" s="6">
        <v>172000</v>
      </c>
      <c r="H11" s="7">
        <f t="shared" si="0"/>
        <v>788000</v>
      </c>
      <c r="I11" s="8">
        <f t="shared" si="1"/>
        <v>6.4402564242995952E-2</v>
      </c>
    </row>
    <row r="12" spans="2:9" x14ac:dyDescent="0.3">
      <c r="B12" s="9" t="s">
        <v>14</v>
      </c>
      <c r="C12" s="10">
        <v>123000</v>
      </c>
      <c r="D12" s="10">
        <v>122000</v>
      </c>
      <c r="E12" s="10">
        <v>198000</v>
      </c>
      <c r="F12" s="10">
        <v>133000</v>
      </c>
      <c r="G12" s="10">
        <v>116000</v>
      </c>
      <c r="H12" s="11">
        <f t="shared" si="0"/>
        <v>692000</v>
      </c>
      <c r="I12" s="12">
        <f t="shared" si="1"/>
        <v>-1.4541773155971716E-2</v>
      </c>
    </row>
    <row r="13" spans="2:9" x14ac:dyDescent="0.3">
      <c r="B13" s="5" t="s">
        <v>15</v>
      </c>
      <c r="C13" s="6">
        <v>89437</v>
      </c>
      <c r="D13" s="6">
        <v>99312</v>
      </c>
      <c r="E13" s="6">
        <v>85089</v>
      </c>
      <c r="F13" s="6">
        <v>93224</v>
      </c>
      <c r="G13" s="6">
        <v>80517</v>
      </c>
      <c r="H13" s="7">
        <f t="shared" si="0"/>
        <v>447579</v>
      </c>
      <c r="I13" s="8">
        <f t="shared" si="1"/>
        <v>-2.5924566426616225E-2</v>
      </c>
    </row>
    <row r="14" spans="2:9" x14ac:dyDescent="0.3">
      <c r="B14" s="9" t="s">
        <v>16</v>
      </c>
      <c r="C14" s="10">
        <v>64258</v>
      </c>
      <c r="D14" s="10">
        <v>67112</v>
      </c>
      <c r="E14" s="10">
        <v>82928</v>
      </c>
      <c r="F14" s="10">
        <v>73932</v>
      </c>
      <c r="G14" s="10">
        <v>67112</v>
      </c>
      <c r="H14" s="11">
        <f t="shared" si="0"/>
        <v>355342</v>
      </c>
      <c r="I14" s="12">
        <f t="shared" si="1"/>
        <v>1.092338824815986E-2</v>
      </c>
    </row>
    <row r="15" spans="2:9" x14ac:dyDescent="0.3">
      <c r="B15" s="13" t="s">
        <v>7</v>
      </c>
      <c r="C15" s="14">
        <f t="shared" ref="C15:H15" si="2">SUM(C7:C14)</f>
        <v>1109729</v>
      </c>
      <c r="D15" s="14">
        <f t="shared" si="2"/>
        <v>1216896</v>
      </c>
      <c r="E15" s="14">
        <f t="shared" si="2"/>
        <v>1463017</v>
      </c>
      <c r="F15" s="14">
        <f t="shared" si="2"/>
        <v>1536156</v>
      </c>
      <c r="G15" s="14">
        <f t="shared" si="2"/>
        <v>1720629</v>
      </c>
      <c r="H15" s="14">
        <f t="shared" si="2"/>
        <v>7046427</v>
      </c>
    </row>
    <row r="17" spans="2:9" ht="21.75" customHeight="1" x14ac:dyDescent="0.3">
      <c r="B17" s="1" t="s">
        <v>17</v>
      </c>
      <c r="C17" s="1"/>
      <c r="D17" s="1"/>
      <c r="E17" s="1"/>
      <c r="F17" s="1"/>
      <c r="G17" s="1"/>
      <c r="H17" s="1"/>
      <c r="I17" s="1"/>
    </row>
    <row r="18" spans="2:9" ht="27.75" customHeight="1" x14ac:dyDescent="0.3">
      <c r="B18" s="4" t="s">
        <v>18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4" t="s">
        <v>8</v>
      </c>
    </row>
    <row r="19" spans="2:9" x14ac:dyDescent="0.3">
      <c r="B19" s="5" t="s">
        <v>19</v>
      </c>
      <c r="C19" s="6">
        <v>6000</v>
      </c>
      <c r="D19" s="6">
        <v>20990</v>
      </c>
      <c r="E19" s="6">
        <v>25759</v>
      </c>
      <c r="F19" s="6">
        <v>48000</v>
      </c>
      <c r="G19" s="6">
        <v>25103.03</v>
      </c>
      <c r="H19" s="7">
        <f t="shared" ref="H19:H27" si="3">SUM(C19:G19)</f>
        <v>125852.03</v>
      </c>
      <c r="I19" s="8">
        <f t="shared" ref="I19:I27" si="4">IFERROR((G19/C19)^(1/4)-1,"")</f>
        <v>0.43018995582176101</v>
      </c>
    </row>
    <row r="20" spans="2:9" x14ac:dyDescent="0.3">
      <c r="B20" s="9" t="s">
        <v>20</v>
      </c>
      <c r="C20" s="10">
        <v>6020</v>
      </c>
      <c r="D20" s="10">
        <v>1032</v>
      </c>
      <c r="E20" s="10">
        <v>3199</v>
      </c>
      <c r="F20" s="10">
        <v>6412</v>
      </c>
      <c r="G20" s="10">
        <v>7200</v>
      </c>
      <c r="H20" s="11">
        <f t="shared" si="3"/>
        <v>23863</v>
      </c>
      <c r="I20" s="12">
        <f t="shared" si="4"/>
        <v>4.5764755987087957E-2</v>
      </c>
    </row>
    <row r="21" spans="2:9" x14ac:dyDescent="0.3">
      <c r="B21" s="5" t="s">
        <v>21</v>
      </c>
      <c r="C21" s="6">
        <v>8578</v>
      </c>
      <c r="D21" s="6">
        <v>6057</v>
      </c>
      <c r="E21" s="6">
        <v>5713</v>
      </c>
      <c r="F21" s="6">
        <v>9336</v>
      </c>
      <c r="G21" s="6">
        <v>12562</v>
      </c>
      <c r="H21" s="7">
        <f t="shared" si="3"/>
        <v>42246</v>
      </c>
      <c r="I21" s="8">
        <f t="shared" si="4"/>
        <v>0.10006459354449282</v>
      </c>
    </row>
    <row r="22" spans="2:9" x14ac:dyDescent="0.3">
      <c r="B22" s="9" t="s">
        <v>22</v>
      </c>
      <c r="C22" s="10">
        <v>9912.2099999999991</v>
      </c>
      <c r="D22" s="10">
        <v>12900</v>
      </c>
      <c r="E22" s="10">
        <v>10233.75</v>
      </c>
      <c r="F22" s="10">
        <v>12800</v>
      </c>
      <c r="G22" s="10">
        <v>10000</v>
      </c>
      <c r="H22" s="11">
        <f t="shared" si="3"/>
        <v>55845.96</v>
      </c>
      <c r="I22" s="12">
        <f t="shared" si="4"/>
        <v>2.2068721783656819E-3</v>
      </c>
    </row>
    <row r="23" spans="2:9" x14ac:dyDescent="0.3">
      <c r="B23" s="5" t="s">
        <v>23</v>
      </c>
      <c r="C23" s="6">
        <v>36322</v>
      </c>
      <c r="D23" s="6">
        <v>37383</v>
      </c>
      <c r="E23" s="6">
        <v>38750.050000000003</v>
      </c>
      <c r="F23" s="6">
        <v>37383</v>
      </c>
      <c r="G23" s="6">
        <v>37500</v>
      </c>
      <c r="H23" s="7">
        <f t="shared" si="3"/>
        <v>187338.05</v>
      </c>
      <c r="I23" s="8">
        <f t="shared" si="4"/>
        <v>8.0112483557646108E-3</v>
      </c>
    </row>
    <row r="24" spans="2:9" x14ac:dyDescent="0.3">
      <c r="B24" s="9" t="s">
        <v>24</v>
      </c>
      <c r="C24" s="10">
        <v>8000</v>
      </c>
      <c r="D24" s="10">
        <v>9235</v>
      </c>
      <c r="E24" s="10">
        <v>7680</v>
      </c>
      <c r="F24" s="10">
        <v>6100</v>
      </c>
      <c r="G24" s="10">
        <v>7680</v>
      </c>
      <c r="H24" s="11">
        <f t="shared" si="3"/>
        <v>38695</v>
      </c>
      <c r="I24" s="12">
        <f t="shared" si="4"/>
        <v>-1.015359923204695E-2</v>
      </c>
    </row>
    <row r="25" spans="2:9" x14ac:dyDescent="0.3">
      <c r="B25" s="5" t="s">
        <v>25</v>
      </c>
      <c r="C25" s="6">
        <v>15000</v>
      </c>
      <c r="D25" s="6">
        <v>19500</v>
      </c>
      <c r="E25" s="6">
        <v>15000</v>
      </c>
      <c r="F25" s="6">
        <v>19000</v>
      </c>
      <c r="G25" s="6">
        <v>17000</v>
      </c>
      <c r="H25" s="7">
        <f t="shared" si="3"/>
        <v>85500</v>
      </c>
      <c r="I25" s="8">
        <f t="shared" si="4"/>
        <v>3.1785488774073611E-2</v>
      </c>
    </row>
    <row r="26" spans="2:9" x14ac:dyDescent="0.3">
      <c r="B26" s="9" t="s">
        <v>26</v>
      </c>
      <c r="C26" s="10">
        <v>228.28</v>
      </c>
      <c r="D26" s="10">
        <v>328.77</v>
      </c>
      <c r="E26" s="10">
        <v>340</v>
      </c>
      <c r="F26" s="10">
        <v>593.03</v>
      </c>
      <c r="G26" s="10">
        <v>880</v>
      </c>
      <c r="H26" s="11">
        <f t="shared" si="3"/>
        <v>2370.08</v>
      </c>
      <c r="I26" s="12">
        <f t="shared" si="4"/>
        <v>0.40121152927480175</v>
      </c>
    </row>
    <row r="27" spans="2:9" x14ac:dyDescent="0.3">
      <c r="B27" s="5" t="s">
        <v>27</v>
      </c>
      <c r="C27" s="6">
        <v>75.05</v>
      </c>
      <c r="D27" s="6">
        <v>100</v>
      </c>
      <c r="E27" s="6">
        <v>120</v>
      </c>
      <c r="F27" s="6">
        <v>283.5</v>
      </c>
      <c r="G27" s="6">
        <v>175</v>
      </c>
      <c r="H27" s="7">
        <f t="shared" si="3"/>
        <v>753.55</v>
      </c>
      <c r="I27" s="8">
        <f t="shared" si="4"/>
        <v>0.23572501432192139</v>
      </c>
    </row>
    <row r="30" spans="2:9" ht="21.75" customHeight="1" x14ac:dyDescent="0.3">
      <c r="B30" s="1" t="s">
        <v>28</v>
      </c>
      <c r="C30" s="1"/>
      <c r="D30" s="1"/>
      <c r="E30" s="1"/>
      <c r="F30" s="1"/>
      <c r="G30" s="1"/>
    </row>
    <row r="31" spans="2:9" ht="27.75" customHeight="1" x14ac:dyDescent="0.3">
      <c r="B31" s="4" t="s">
        <v>29</v>
      </c>
      <c r="C31" s="4" t="s">
        <v>30</v>
      </c>
      <c r="D31" s="4" t="s">
        <v>31</v>
      </c>
      <c r="E31" s="4" t="s">
        <v>32</v>
      </c>
      <c r="F31" s="4" t="s">
        <v>33</v>
      </c>
    </row>
    <row r="32" spans="2:9" x14ac:dyDescent="0.3">
      <c r="B32" s="5" t="s">
        <v>2</v>
      </c>
      <c r="C32" s="15">
        <v>6.1</v>
      </c>
      <c r="D32" s="15">
        <v>3.4</v>
      </c>
      <c r="E32" s="15">
        <v>10.8</v>
      </c>
      <c r="F32" s="15">
        <v>2.4</v>
      </c>
    </row>
    <row r="33" spans="2:6" x14ac:dyDescent="0.3">
      <c r="B33" s="9" t="s">
        <v>3</v>
      </c>
      <c r="C33" s="16">
        <v>4.2</v>
      </c>
      <c r="D33" s="16">
        <v>9.1999999999999993</v>
      </c>
      <c r="E33" s="16">
        <v>10.199999999999999</v>
      </c>
      <c r="F33" s="16">
        <v>7.3</v>
      </c>
    </row>
    <row r="34" spans="2:6" x14ac:dyDescent="0.3">
      <c r="B34" s="5" t="s">
        <v>4</v>
      </c>
      <c r="C34" s="15">
        <v>8.6999999999999993</v>
      </c>
      <c r="D34" s="15">
        <v>6.7</v>
      </c>
      <c r="E34" s="15">
        <v>11.4</v>
      </c>
      <c r="F34" s="15">
        <v>4.4000000000000004</v>
      </c>
    </row>
    <row r="35" spans="2:6" x14ac:dyDescent="0.3">
      <c r="B35" s="9" t="s">
        <v>5</v>
      </c>
      <c r="C35" s="16">
        <v>7.2</v>
      </c>
      <c r="D35" s="16">
        <v>5.8</v>
      </c>
      <c r="E35" s="16">
        <v>11.7</v>
      </c>
      <c r="F35" s="16">
        <v>4.0999999999999996</v>
      </c>
    </row>
    <row r="36" spans="2:6" x14ac:dyDescent="0.3">
      <c r="B36" s="5" t="s">
        <v>6</v>
      </c>
      <c r="C36" s="15">
        <v>6.5</v>
      </c>
      <c r="D36" s="15">
        <v>5.0999999999999996</v>
      </c>
      <c r="E36" s="15">
        <v>11.9</v>
      </c>
      <c r="F36" s="15">
        <v>3.8</v>
      </c>
    </row>
  </sheetData>
  <mergeCells count="5">
    <mergeCell ref="B2:I2"/>
    <mergeCell ref="B3:I3"/>
    <mergeCell ref="B5:I5"/>
    <mergeCell ref="B17:I17"/>
    <mergeCell ref="B30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48" customWidth="1"/>
    <col min="3" max="7" width="12" customWidth="1"/>
    <col min="8" max="9" width="14" customWidth="1"/>
  </cols>
  <sheetData>
    <row r="2" spans="2:9" ht="25.5" customHeight="1" x14ac:dyDescent="0.3">
      <c r="B2" s="3" t="s">
        <v>34</v>
      </c>
      <c r="C2" s="3"/>
      <c r="D2" s="3"/>
      <c r="E2" s="3"/>
      <c r="F2" s="3"/>
      <c r="G2" s="3"/>
      <c r="H2" s="3"/>
      <c r="I2" s="3"/>
    </row>
    <row r="3" spans="2:9" x14ac:dyDescent="0.3">
      <c r="B3" s="2" t="s">
        <v>35</v>
      </c>
      <c r="C3" s="2"/>
      <c r="D3" s="2"/>
      <c r="E3" s="2"/>
      <c r="F3" s="2"/>
      <c r="G3" s="2"/>
      <c r="H3" s="2"/>
      <c r="I3" s="2"/>
    </row>
    <row r="5" spans="2:9" ht="30" customHeight="1" x14ac:dyDescent="0.3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36</v>
      </c>
      <c r="I5" s="4" t="s">
        <v>37</v>
      </c>
    </row>
    <row r="6" spans="2:9" x14ac:dyDescent="0.3">
      <c r="B6" s="5" t="s">
        <v>9</v>
      </c>
      <c r="C6" s="6">
        <v>431000</v>
      </c>
      <c r="D6" s="6">
        <v>471000</v>
      </c>
      <c r="E6" s="6">
        <v>478000</v>
      </c>
      <c r="F6" s="6">
        <v>525000</v>
      </c>
      <c r="G6" s="6">
        <v>593000</v>
      </c>
      <c r="H6" s="17">
        <f t="shared" ref="H6:H13" si="0">SUM(C6:G6)</f>
        <v>2498000</v>
      </c>
      <c r="I6" s="18">
        <f t="shared" ref="I6:I13" si="1">IFERROR((G6/C6)^(1/4)-1,"")</f>
        <v>8.3039648494371621E-2</v>
      </c>
    </row>
    <row r="7" spans="2:9" x14ac:dyDescent="0.3">
      <c r="B7" s="9" t="s">
        <v>10</v>
      </c>
      <c r="C7" s="10">
        <v>83016</v>
      </c>
      <c r="D7" s="10">
        <v>94257</v>
      </c>
      <c r="E7" s="10">
        <v>118000</v>
      </c>
      <c r="F7" s="10">
        <v>199000</v>
      </c>
      <c r="G7" s="10">
        <v>270000</v>
      </c>
      <c r="H7" s="19">
        <f t="shared" si="0"/>
        <v>764273</v>
      </c>
      <c r="I7" s="20">
        <f t="shared" si="1"/>
        <v>0.34292107707337038</v>
      </c>
    </row>
    <row r="8" spans="2:9" x14ac:dyDescent="0.3">
      <c r="B8" s="5" t="s">
        <v>11</v>
      </c>
      <c r="C8" s="6">
        <v>68018</v>
      </c>
      <c r="D8" s="6">
        <v>72215</v>
      </c>
      <c r="E8" s="6">
        <v>110000</v>
      </c>
      <c r="F8" s="6">
        <v>140000</v>
      </c>
      <c r="G8" s="6">
        <v>222000</v>
      </c>
      <c r="H8" s="17">
        <f t="shared" si="0"/>
        <v>612233</v>
      </c>
      <c r="I8" s="18">
        <f t="shared" si="1"/>
        <v>0.34410216046183195</v>
      </c>
    </row>
    <row r="9" spans="2:9" x14ac:dyDescent="0.3">
      <c r="B9" s="9" t="s">
        <v>12</v>
      </c>
      <c r="C9" s="10">
        <v>117000</v>
      </c>
      <c r="D9" s="10">
        <v>124000</v>
      </c>
      <c r="E9" s="10">
        <v>242000</v>
      </c>
      <c r="F9" s="10">
        <v>206000</v>
      </c>
      <c r="G9" s="10">
        <v>200000</v>
      </c>
      <c r="H9" s="19">
        <f t="shared" si="0"/>
        <v>889000</v>
      </c>
      <c r="I9" s="20">
        <f t="shared" si="1"/>
        <v>0.14343382008808314</v>
      </c>
    </row>
    <row r="10" spans="2:9" x14ac:dyDescent="0.3">
      <c r="B10" s="5" t="s">
        <v>13</v>
      </c>
      <c r="C10" s="6">
        <v>134000</v>
      </c>
      <c r="D10" s="6">
        <v>167000</v>
      </c>
      <c r="E10" s="6">
        <v>149000</v>
      </c>
      <c r="F10" s="6">
        <v>166000</v>
      </c>
      <c r="G10" s="6">
        <v>172000</v>
      </c>
      <c r="H10" s="17">
        <f t="shared" si="0"/>
        <v>788000</v>
      </c>
      <c r="I10" s="18">
        <f t="shared" si="1"/>
        <v>6.4402564242995952E-2</v>
      </c>
    </row>
    <row r="11" spans="2:9" x14ac:dyDescent="0.3">
      <c r="B11" s="9" t="s">
        <v>14</v>
      </c>
      <c r="C11" s="10">
        <v>123000</v>
      </c>
      <c r="D11" s="10">
        <v>122000</v>
      </c>
      <c r="E11" s="10">
        <v>198000</v>
      </c>
      <c r="F11" s="10">
        <v>133000</v>
      </c>
      <c r="G11" s="10">
        <v>116000</v>
      </c>
      <c r="H11" s="19">
        <f t="shared" si="0"/>
        <v>692000</v>
      </c>
      <c r="I11" s="20">
        <f t="shared" si="1"/>
        <v>-1.4541773155971716E-2</v>
      </c>
    </row>
    <row r="12" spans="2:9" x14ac:dyDescent="0.3">
      <c r="B12" s="5" t="s">
        <v>15</v>
      </c>
      <c r="C12" s="6">
        <v>89437</v>
      </c>
      <c r="D12" s="6">
        <v>99312</v>
      </c>
      <c r="E12" s="6">
        <v>85089</v>
      </c>
      <c r="F12" s="6">
        <v>93224</v>
      </c>
      <c r="G12" s="6">
        <v>80517</v>
      </c>
      <c r="H12" s="17">
        <f t="shared" si="0"/>
        <v>447579</v>
      </c>
      <c r="I12" s="18">
        <f t="shared" si="1"/>
        <v>-2.5924566426616225E-2</v>
      </c>
    </row>
    <row r="13" spans="2:9" x14ac:dyDescent="0.3">
      <c r="B13" s="9" t="s">
        <v>16</v>
      </c>
      <c r="C13" s="10">
        <v>64258</v>
      </c>
      <c r="D13" s="10">
        <v>67112</v>
      </c>
      <c r="E13" s="10">
        <v>82928</v>
      </c>
      <c r="F13" s="10">
        <v>73932</v>
      </c>
      <c r="G13" s="10">
        <v>67112</v>
      </c>
      <c r="H13" s="19">
        <f t="shared" si="0"/>
        <v>355342</v>
      </c>
      <c r="I13" s="20">
        <f t="shared" si="1"/>
        <v>1.092338824815986E-2</v>
      </c>
    </row>
    <row r="14" spans="2:9" x14ac:dyDescent="0.3">
      <c r="B14" s="13" t="s">
        <v>38</v>
      </c>
      <c r="C14" s="14">
        <f t="shared" ref="C14:H14" si="2">SUM(C6:C13)</f>
        <v>1109729</v>
      </c>
      <c r="D14" s="14">
        <f t="shared" si="2"/>
        <v>1216896</v>
      </c>
      <c r="E14" s="14">
        <f t="shared" si="2"/>
        <v>1463017</v>
      </c>
      <c r="F14" s="14">
        <f t="shared" si="2"/>
        <v>1536156</v>
      </c>
      <c r="G14" s="14">
        <f t="shared" si="2"/>
        <v>1720629</v>
      </c>
      <c r="H14" s="14">
        <f t="shared" si="2"/>
        <v>7046427</v>
      </c>
    </row>
  </sheetData>
  <autoFilter ref="B5:I14" xr:uid="{00000000-0009-0000-0000-000001000000}"/>
  <mergeCells count="2">
    <mergeCell ref="B2:I2"/>
    <mergeCell ref="B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4" customWidth="1"/>
    <col min="3" max="7" width="12" customWidth="1"/>
    <col min="8" max="8" width="14" customWidth="1"/>
    <col min="9" max="9" width="16" customWidth="1"/>
  </cols>
  <sheetData>
    <row r="2" spans="2:9" ht="25.5" customHeight="1" x14ac:dyDescent="0.3">
      <c r="B2" s="3" t="s">
        <v>39</v>
      </c>
      <c r="C2" s="3"/>
      <c r="D2" s="3"/>
      <c r="E2" s="3"/>
      <c r="F2" s="3"/>
      <c r="G2" s="3"/>
      <c r="H2" s="3"/>
      <c r="I2" s="3"/>
    </row>
    <row r="3" spans="2:9" x14ac:dyDescent="0.3">
      <c r="B3" s="2" t="s">
        <v>35</v>
      </c>
      <c r="C3" s="2"/>
      <c r="D3" s="2"/>
      <c r="E3" s="2"/>
      <c r="F3" s="2"/>
      <c r="G3" s="2"/>
      <c r="H3" s="2"/>
      <c r="I3" s="2"/>
    </row>
    <row r="5" spans="2:9" ht="30" customHeight="1" x14ac:dyDescent="0.3">
      <c r="B5" s="4" t="s">
        <v>40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36</v>
      </c>
      <c r="I5" s="4" t="s">
        <v>41</v>
      </c>
    </row>
    <row r="6" spans="2:9" x14ac:dyDescent="0.3">
      <c r="B6" s="5" t="s">
        <v>42</v>
      </c>
      <c r="C6" s="6">
        <v>411000</v>
      </c>
      <c r="D6" s="6">
        <v>429000</v>
      </c>
      <c r="E6" s="6">
        <v>460000</v>
      </c>
      <c r="F6" s="6">
        <v>527000</v>
      </c>
      <c r="G6" s="6">
        <v>612000</v>
      </c>
      <c r="H6" s="17">
        <f t="shared" ref="H6:H34" si="0">SUM(C6:G6)</f>
        <v>2439000</v>
      </c>
      <c r="I6" s="18">
        <f t="shared" ref="I6:I34" si="1">IFERROR((G6-C6)/C6,"")</f>
        <v>0.48905109489051096</v>
      </c>
    </row>
    <row r="7" spans="2:9" x14ac:dyDescent="0.3">
      <c r="B7" s="9" t="s">
        <v>43</v>
      </c>
      <c r="C7" s="10">
        <v>479000</v>
      </c>
      <c r="D7" s="10">
        <v>512000</v>
      </c>
      <c r="E7" s="10">
        <v>550000</v>
      </c>
      <c r="F7" s="10">
        <v>653000</v>
      </c>
      <c r="G7" s="10">
        <v>690000</v>
      </c>
      <c r="H7" s="19">
        <f t="shared" si="0"/>
        <v>2884000</v>
      </c>
      <c r="I7" s="20">
        <f t="shared" si="1"/>
        <v>0.44050104384133609</v>
      </c>
    </row>
    <row r="8" spans="2:9" x14ac:dyDescent="0.3">
      <c r="B8" s="5" t="s">
        <v>44</v>
      </c>
      <c r="C8" s="6">
        <v>215000</v>
      </c>
      <c r="D8" s="6">
        <v>221000</v>
      </c>
      <c r="E8" s="6">
        <v>253000</v>
      </c>
      <c r="F8" s="6">
        <v>278000</v>
      </c>
      <c r="G8" s="6">
        <v>339000</v>
      </c>
      <c r="H8" s="17">
        <f t="shared" si="0"/>
        <v>1306000</v>
      </c>
      <c r="I8" s="18">
        <f t="shared" si="1"/>
        <v>0.57674418604651168</v>
      </c>
    </row>
    <row r="9" spans="2:9" x14ac:dyDescent="0.3">
      <c r="B9" s="9" t="s">
        <v>45</v>
      </c>
      <c r="C9" s="10">
        <v>275000</v>
      </c>
      <c r="D9" s="10">
        <v>292000</v>
      </c>
      <c r="E9" s="10">
        <v>300000</v>
      </c>
      <c r="F9" s="10">
        <v>340000</v>
      </c>
      <c r="G9" s="10">
        <v>360000</v>
      </c>
      <c r="H9" s="19">
        <f t="shared" si="0"/>
        <v>1567000</v>
      </c>
      <c r="I9" s="20">
        <f t="shared" si="1"/>
        <v>0.30909090909090908</v>
      </c>
    </row>
    <row r="10" spans="2:9" x14ac:dyDescent="0.3">
      <c r="B10" s="5" t="s">
        <v>46</v>
      </c>
      <c r="C10" s="6">
        <v>225000</v>
      </c>
      <c r="D10" s="6">
        <v>234000</v>
      </c>
      <c r="E10" s="6">
        <v>242000</v>
      </c>
      <c r="F10" s="6">
        <v>285000</v>
      </c>
      <c r="G10" s="6">
        <v>297000</v>
      </c>
      <c r="H10" s="17">
        <f t="shared" si="0"/>
        <v>1283000</v>
      </c>
      <c r="I10" s="18">
        <f t="shared" si="1"/>
        <v>0.32</v>
      </c>
    </row>
    <row r="11" spans="2:9" x14ac:dyDescent="0.3">
      <c r="B11" s="9" t="s">
        <v>47</v>
      </c>
      <c r="C11" s="10">
        <v>210000</v>
      </c>
      <c r="D11" s="10">
        <v>233000</v>
      </c>
      <c r="E11" s="10">
        <v>235000</v>
      </c>
      <c r="F11" s="10">
        <v>271000</v>
      </c>
      <c r="G11" s="10">
        <v>315000</v>
      </c>
      <c r="H11" s="19">
        <f t="shared" si="0"/>
        <v>1264000</v>
      </c>
      <c r="I11" s="20">
        <f t="shared" si="1"/>
        <v>0.5</v>
      </c>
    </row>
    <row r="12" spans="2:9" x14ac:dyDescent="0.3">
      <c r="B12" s="5" t="s">
        <v>48</v>
      </c>
      <c r="C12" s="6">
        <v>234000</v>
      </c>
      <c r="D12" s="6">
        <v>237000</v>
      </c>
      <c r="E12" s="6">
        <v>255000</v>
      </c>
      <c r="F12" s="6">
        <v>265000</v>
      </c>
      <c r="G12" s="6">
        <v>306000</v>
      </c>
      <c r="H12" s="17">
        <f t="shared" si="0"/>
        <v>1297000</v>
      </c>
      <c r="I12" s="18">
        <f t="shared" si="1"/>
        <v>0.30769230769230771</v>
      </c>
    </row>
    <row r="13" spans="2:9" x14ac:dyDescent="0.3">
      <c r="B13" s="9" t="s">
        <v>49</v>
      </c>
      <c r="C13" s="10">
        <v>227000</v>
      </c>
      <c r="D13" s="10">
        <v>229000</v>
      </c>
      <c r="E13" s="10">
        <v>256000</v>
      </c>
      <c r="F13" s="10">
        <v>256000</v>
      </c>
      <c r="G13" s="10">
        <v>279000</v>
      </c>
      <c r="H13" s="19">
        <f t="shared" si="0"/>
        <v>1247000</v>
      </c>
      <c r="I13" s="20">
        <f t="shared" si="1"/>
        <v>0.22907488986784141</v>
      </c>
    </row>
    <row r="14" spans="2:9" x14ac:dyDescent="0.3">
      <c r="B14" s="5" t="s">
        <v>50</v>
      </c>
      <c r="C14" s="6">
        <v>125000</v>
      </c>
      <c r="D14" s="6">
        <v>211000</v>
      </c>
      <c r="E14" s="6">
        <v>218000</v>
      </c>
      <c r="F14" s="6">
        <v>237000</v>
      </c>
      <c r="G14" s="6">
        <v>261000</v>
      </c>
      <c r="H14" s="17">
        <f t="shared" si="0"/>
        <v>1052000</v>
      </c>
      <c r="I14" s="18">
        <f t="shared" si="1"/>
        <v>1.0880000000000001</v>
      </c>
    </row>
    <row r="15" spans="2:9" x14ac:dyDescent="0.3">
      <c r="B15" s="9" t="s">
        <v>51</v>
      </c>
      <c r="C15" s="10">
        <v>145000</v>
      </c>
      <c r="D15" s="10">
        <v>155000</v>
      </c>
      <c r="E15" s="10">
        <v>170000</v>
      </c>
      <c r="F15" s="10">
        <v>200000</v>
      </c>
      <c r="G15" s="10">
        <v>230000</v>
      </c>
      <c r="H15" s="19">
        <f t="shared" si="0"/>
        <v>900000</v>
      </c>
      <c r="I15" s="20">
        <f t="shared" si="1"/>
        <v>0.58620689655172409</v>
      </c>
    </row>
    <row r="16" spans="2:9" x14ac:dyDescent="0.3">
      <c r="B16" s="5" t="s">
        <v>52</v>
      </c>
      <c r="C16" s="6">
        <v>156000</v>
      </c>
      <c r="D16" s="6">
        <v>172000</v>
      </c>
      <c r="E16" s="6">
        <v>209000</v>
      </c>
      <c r="F16" s="6">
        <v>232000</v>
      </c>
      <c r="G16" s="6">
        <v>290000</v>
      </c>
      <c r="H16" s="17">
        <f t="shared" si="0"/>
        <v>1059000</v>
      </c>
      <c r="I16" s="18">
        <f t="shared" si="1"/>
        <v>0.85897435897435892</v>
      </c>
    </row>
    <row r="17" spans="2:9" x14ac:dyDescent="0.3">
      <c r="B17" s="9" t="s">
        <v>53</v>
      </c>
      <c r="C17" s="10">
        <v>97311</v>
      </c>
      <c r="D17" s="10">
        <v>109000</v>
      </c>
      <c r="E17" s="10">
        <v>115000</v>
      </c>
      <c r="F17" s="10">
        <v>124000</v>
      </c>
      <c r="G17" s="10">
        <v>140000</v>
      </c>
      <c r="H17" s="19">
        <f t="shared" si="0"/>
        <v>585311</v>
      </c>
      <c r="I17" s="20">
        <f t="shared" si="1"/>
        <v>0.43868627390531389</v>
      </c>
    </row>
    <row r="18" spans="2:9" x14ac:dyDescent="0.3">
      <c r="B18" s="5" t="s">
        <v>54</v>
      </c>
      <c r="C18" s="6">
        <v>183000</v>
      </c>
      <c r="D18" s="6">
        <v>217000</v>
      </c>
      <c r="E18" s="6">
        <v>243000</v>
      </c>
      <c r="F18" s="6">
        <v>255000</v>
      </c>
      <c r="G18" s="6">
        <v>284000</v>
      </c>
      <c r="H18" s="17">
        <f t="shared" si="0"/>
        <v>1182000</v>
      </c>
      <c r="I18" s="18">
        <f t="shared" si="1"/>
        <v>0.55191256830601088</v>
      </c>
    </row>
    <row r="19" spans="2:9" x14ac:dyDescent="0.3">
      <c r="B19" s="9" t="s">
        <v>55</v>
      </c>
      <c r="C19" s="10">
        <v>95650</v>
      </c>
      <c r="D19" s="10">
        <v>100000</v>
      </c>
      <c r="E19" s="10">
        <v>102000</v>
      </c>
      <c r="F19" s="10">
        <v>118000</v>
      </c>
      <c r="G19" s="10">
        <v>139000</v>
      </c>
      <c r="H19" s="19">
        <f t="shared" si="0"/>
        <v>554650</v>
      </c>
      <c r="I19" s="20">
        <f t="shared" si="1"/>
        <v>0.45321484579194982</v>
      </c>
    </row>
    <row r="20" spans="2:9" x14ac:dyDescent="0.3">
      <c r="B20" s="5" t="s">
        <v>56</v>
      </c>
      <c r="C20" s="6">
        <v>88911</v>
      </c>
      <c r="D20" s="6">
        <v>92000</v>
      </c>
      <c r="E20" s="6">
        <v>98211</v>
      </c>
      <c r="F20" s="6">
        <v>110000</v>
      </c>
      <c r="G20" s="6">
        <v>125000</v>
      </c>
      <c r="H20" s="17">
        <f t="shared" si="0"/>
        <v>514122</v>
      </c>
      <c r="I20" s="18">
        <f t="shared" si="1"/>
        <v>0.40590028230477671</v>
      </c>
    </row>
    <row r="21" spans="2:9" x14ac:dyDescent="0.3">
      <c r="B21" s="9" t="s">
        <v>57</v>
      </c>
      <c r="C21" s="10">
        <v>49131</v>
      </c>
      <c r="D21" s="10">
        <v>55055</v>
      </c>
      <c r="E21" s="10">
        <v>57576</v>
      </c>
      <c r="F21" s="10">
        <v>67215</v>
      </c>
      <c r="G21" s="10">
        <v>69525</v>
      </c>
      <c r="H21" s="19">
        <f t="shared" si="0"/>
        <v>298502</v>
      </c>
      <c r="I21" s="20">
        <f t="shared" si="1"/>
        <v>0.41509433962264153</v>
      </c>
    </row>
    <row r="22" spans="2:9" x14ac:dyDescent="0.3">
      <c r="B22" s="5" t="s">
        <v>58</v>
      </c>
      <c r="C22" s="6">
        <v>145000</v>
      </c>
      <c r="D22" s="6">
        <v>169000</v>
      </c>
      <c r="E22" s="6">
        <v>177000</v>
      </c>
      <c r="F22" s="6">
        <v>188000</v>
      </c>
      <c r="G22" s="6">
        <v>222000</v>
      </c>
      <c r="H22" s="17">
        <f t="shared" si="0"/>
        <v>901000</v>
      </c>
      <c r="I22" s="18">
        <f t="shared" si="1"/>
        <v>0.53103448275862064</v>
      </c>
    </row>
    <row r="23" spans="2:9" x14ac:dyDescent="0.3">
      <c r="B23" s="9" t="s">
        <v>59</v>
      </c>
      <c r="C23" s="10">
        <v>55215</v>
      </c>
      <c r="D23" s="10">
        <v>57600</v>
      </c>
      <c r="E23" s="10">
        <v>62000</v>
      </c>
      <c r="F23" s="10">
        <v>70150</v>
      </c>
      <c r="G23" s="10">
        <v>75620</v>
      </c>
      <c r="H23" s="19">
        <f t="shared" si="0"/>
        <v>320585</v>
      </c>
      <c r="I23" s="20">
        <f t="shared" si="1"/>
        <v>0.36955537444534997</v>
      </c>
    </row>
    <row r="24" spans="2:9" x14ac:dyDescent="0.3">
      <c r="B24" s="5" t="s">
        <v>60</v>
      </c>
      <c r="C24" s="6">
        <v>93000</v>
      </c>
      <c r="D24" s="6">
        <v>95600</v>
      </c>
      <c r="E24" s="6">
        <v>105000</v>
      </c>
      <c r="F24" s="6">
        <v>120000</v>
      </c>
      <c r="G24" s="6">
        <v>135000</v>
      </c>
      <c r="H24" s="17">
        <f t="shared" si="0"/>
        <v>548600</v>
      </c>
      <c r="I24" s="18">
        <f t="shared" si="1"/>
        <v>0.45161290322580644</v>
      </c>
    </row>
    <row r="25" spans="2:9" x14ac:dyDescent="0.3">
      <c r="B25" s="9" t="s">
        <v>61</v>
      </c>
      <c r="C25" s="10">
        <v>21056</v>
      </c>
      <c r="D25" s="10">
        <v>21646</v>
      </c>
      <c r="E25" s="10">
        <v>21942</v>
      </c>
      <c r="F25" s="10">
        <v>22543</v>
      </c>
      <c r="G25" s="10">
        <v>25523</v>
      </c>
      <c r="H25" s="19">
        <f t="shared" si="0"/>
        <v>112710</v>
      </c>
      <c r="I25" s="20">
        <f t="shared" si="1"/>
        <v>0.21214855623100304</v>
      </c>
    </row>
    <row r="26" spans="2:9" x14ac:dyDescent="0.3">
      <c r="B26" s="5" t="s">
        <v>62</v>
      </c>
      <c r="C26" s="6">
        <v>20000</v>
      </c>
      <c r="D26" s="6">
        <v>21300</v>
      </c>
      <c r="E26" s="6">
        <v>22500</v>
      </c>
      <c r="F26" s="6">
        <v>24600</v>
      </c>
      <c r="G26" s="6">
        <v>28112</v>
      </c>
      <c r="H26" s="17">
        <f t="shared" si="0"/>
        <v>116512</v>
      </c>
      <c r="I26" s="18">
        <f t="shared" si="1"/>
        <v>0.40560000000000002</v>
      </c>
    </row>
    <row r="27" spans="2:9" x14ac:dyDescent="0.3">
      <c r="B27" s="9" t="s">
        <v>63</v>
      </c>
      <c r="C27" s="10">
        <v>15600</v>
      </c>
      <c r="D27" s="10">
        <v>16950</v>
      </c>
      <c r="E27" s="10">
        <v>18200</v>
      </c>
      <c r="F27" s="10">
        <v>21000</v>
      </c>
      <c r="G27" s="10">
        <v>23400</v>
      </c>
      <c r="H27" s="19">
        <f t="shared" si="0"/>
        <v>95150</v>
      </c>
      <c r="I27" s="20">
        <f t="shared" si="1"/>
        <v>0.5</v>
      </c>
    </row>
    <row r="28" spans="2:9" x14ac:dyDescent="0.3">
      <c r="B28" s="5" t="s">
        <v>64</v>
      </c>
      <c r="C28" s="6">
        <v>11000</v>
      </c>
      <c r="D28" s="6">
        <v>11800</v>
      </c>
      <c r="E28" s="6">
        <v>13000</v>
      </c>
      <c r="F28" s="6">
        <v>14200</v>
      </c>
      <c r="G28" s="6">
        <v>16500</v>
      </c>
      <c r="H28" s="17">
        <f t="shared" si="0"/>
        <v>66500</v>
      </c>
      <c r="I28" s="18">
        <f t="shared" si="1"/>
        <v>0.5</v>
      </c>
    </row>
    <row r="29" spans="2:9" x14ac:dyDescent="0.3">
      <c r="B29" s="9" t="s">
        <v>65</v>
      </c>
      <c r="C29" s="10">
        <v>12350</v>
      </c>
      <c r="D29" s="10">
        <v>12900</v>
      </c>
      <c r="E29" s="10">
        <v>14200</v>
      </c>
      <c r="F29" s="10">
        <v>15320</v>
      </c>
      <c r="G29" s="10">
        <v>17000</v>
      </c>
      <c r="H29" s="19">
        <f t="shared" si="0"/>
        <v>71770</v>
      </c>
      <c r="I29" s="20">
        <f t="shared" si="1"/>
        <v>0.37651821862348178</v>
      </c>
    </row>
    <row r="30" spans="2:9" x14ac:dyDescent="0.3">
      <c r="B30" s="5" t="s">
        <v>66</v>
      </c>
      <c r="C30" s="6">
        <v>16210</v>
      </c>
      <c r="D30" s="6">
        <v>17500</v>
      </c>
      <c r="E30" s="6">
        <v>18930</v>
      </c>
      <c r="F30" s="6">
        <v>20245</v>
      </c>
      <c r="G30" s="6">
        <v>22000</v>
      </c>
      <c r="H30" s="17">
        <f t="shared" si="0"/>
        <v>94885</v>
      </c>
      <c r="I30" s="18">
        <f t="shared" si="1"/>
        <v>0.3571869216533004</v>
      </c>
    </row>
    <row r="31" spans="2:9" x14ac:dyDescent="0.3">
      <c r="B31" s="9" t="s">
        <v>67</v>
      </c>
      <c r="C31" s="10">
        <v>5756</v>
      </c>
      <c r="D31" s="10">
        <v>6000</v>
      </c>
      <c r="E31" s="10">
        <v>6540</v>
      </c>
      <c r="F31" s="10">
        <v>7200</v>
      </c>
      <c r="G31" s="10">
        <v>8000</v>
      </c>
      <c r="H31" s="19">
        <f t="shared" si="0"/>
        <v>33496</v>
      </c>
      <c r="I31" s="20">
        <f t="shared" si="1"/>
        <v>0.3898540653231411</v>
      </c>
    </row>
    <row r="32" spans="2:9" x14ac:dyDescent="0.3">
      <c r="B32" s="5" t="s">
        <v>68</v>
      </c>
      <c r="C32" s="6">
        <v>20000</v>
      </c>
      <c r="D32" s="6">
        <v>22000</v>
      </c>
      <c r="E32" s="6">
        <v>24500</v>
      </c>
      <c r="F32" s="6">
        <v>28155</v>
      </c>
      <c r="G32" s="6">
        <v>30400</v>
      </c>
      <c r="H32" s="17">
        <f t="shared" si="0"/>
        <v>125055</v>
      </c>
      <c r="I32" s="18">
        <f t="shared" si="1"/>
        <v>0.52</v>
      </c>
    </row>
    <row r="33" spans="2:9" x14ac:dyDescent="0.3">
      <c r="B33" s="9" t="s">
        <v>69</v>
      </c>
      <c r="C33" s="10">
        <v>142000</v>
      </c>
      <c r="D33" s="10">
        <v>147000</v>
      </c>
      <c r="E33" s="10">
        <v>164000</v>
      </c>
      <c r="F33" s="10">
        <v>192000</v>
      </c>
      <c r="G33" s="10">
        <v>235000</v>
      </c>
      <c r="H33" s="19">
        <f t="shared" si="0"/>
        <v>880000</v>
      </c>
      <c r="I33" s="20">
        <f t="shared" si="1"/>
        <v>0.65492957746478875</v>
      </c>
    </row>
    <row r="34" spans="2:9" x14ac:dyDescent="0.3">
      <c r="B34" s="5" t="s">
        <v>70</v>
      </c>
      <c r="C34" s="6">
        <v>154000</v>
      </c>
      <c r="D34" s="6">
        <v>155000</v>
      </c>
      <c r="E34" s="6">
        <v>161000</v>
      </c>
      <c r="F34" s="6">
        <v>174000</v>
      </c>
      <c r="G34" s="6">
        <v>196000</v>
      </c>
      <c r="H34" s="17">
        <f t="shared" si="0"/>
        <v>840000</v>
      </c>
      <c r="I34" s="18">
        <f t="shared" si="1"/>
        <v>0.27272727272727271</v>
      </c>
    </row>
    <row r="35" spans="2:9" x14ac:dyDescent="0.3">
      <c r="B35" s="13" t="s">
        <v>38</v>
      </c>
      <c r="C35" s="14">
        <f t="shared" ref="C35:H35" si="2">SUM(C6:C34)</f>
        <v>3927190</v>
      </c>
      <c r="D35" s="14">
        <f t="shared" si="2"/>
        <v>4252351</v>
      </c>
      <c r="E35" s="14">
        <f t="shared" si="2"/>
        <v>4572599</v>
      </c>
      <c r="F35" s="14">
        <f t="shared" si="2"/>
        <v>5115628</v>
      </c>
      <c r="G35" s="14">
        <f t="shared" si="2"/>
        <v>5771080</v>
      </c>
      <c r="H35" s="14">
        <f t="shared" si="2"/>
        <v>23638848</v>
      </c>
    </row>
  </sheetData>
  <autoFilter ref="B5:I35" xr:uid="{00000000-0009-0000-0000-000002000000}"/>
  <mergeCells count="2">
    <mergeCell ref="B2:I2"/>
    <mergeCell ref="B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38" customWidth="1"/>
    <col min="3" max="7" width="12" customWidth="1"/>
    <col min="8" max="9" width="14" customWidth="1"/>
  </cols>
  <sheetData>
    <row r="2" spans="2:9" ht="25.5" customHeight="1" x14ac:dyDescent="0.3">
      <c r="B2" s="3" t="s">
        <v>71</v>
      </c>
      <c r="C2" s="3"/>
      <c r="D2" s="3"/>
      <c r="E2" s="3"/>
      <c r="F2" s="3"/>
      <c r="G2" s="3"/>
      <c r="H2" s="3"/>
      <c r="I2" s="3"/>
    </row>
    <row r="3" spans="2:9" x14ac:dyDescent="0.3">
      <c r="B3" s="2" t="s">
        <v>35</v>
      </c>
      <c r="C3" s="2"/>
      <c r="D3" s="2"/>
      <c r="E3" s="2"/>
      <c r="F3" s="2"/>
      <c r="G3" s="2"/>
      <c r="H3" s="2"/>
      <c r="I3" s="2"/>
    </row>
    <row r="5" spans="2:9" ht="30" customHeight="1" x14ac:dyDescent="0.3">
      <c r="B5" s="4" t="s">
        <v>18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36</v>
      </c>
      <c r="I5" s="4" t="s">
        <v>37</v>
      </c>
    </row>
    <row r="6" spans="2:9" x14ac:dyDescent="0.3">
      <c r="B6" s="5" t="s">
        <v>19</v>
      </c>
      <c r="C6" s="6">
        <v>6000</v>
      </c>
      <c r="D6" s="6">
        <v>20990</v>
      </c>
      <c r="E6" s="6">
        <v>25759</v>
      </c>
      <c r="F6" s="6">
        <v>48000</v>
      </c>
      <c r="G6" s="6">
        <v>25103.03</v>
      </c>
      <c r="H6" s="17">
        <f t="shared" ref="H6:H14" si="0">SUM(C6:G6)</f>
        <v>125852.03</v>
      </c>
      <c r="I6" s="18">
        <f t="shared" ref="I6:I14" si="1">IFERROR((G6/C6)^(1/4)-1,"")</f>
        <v>0.43018995582176101</v>
      </c>
    </row>
    <row r="7" spans="2:9" x14ac:dyDescent="0.3">
      <c r="B7" s="9" t="s">
        <v>20</v>
      </c>
      <c r="C7" s="10">
        <v>6020</v>
      </c>
      <c r="D7" s="10">
        <v>1032</v>
      </c>
      <c r="E7" s="10">
        <v>3199</v>
      </c>
      <c r="F7" s="10">
        <v>6412</v>
      </c>
      <c r="G7" s="10">
        <v>7200</v>
      </c>
      <c r="H7" s="19">
        <f t="shared" si="0"/>
        <v>23863</v>
      </c>
      <c r="I7" s="20">
        <f t="shared" si="1"/>
        <v>4.5764755987087957E-2</v>
      </c>
    </row>
    <row r="8" spans="2:9" x14ac:dyDescent="0.3">
      <c r="B8" s="5" t="s">
        <v>21</v>
      </c>
      <c r="C8" s="6">
        <v>8578</v>
      </c>
      <c r="D8" s="6">
        <v>6057</v>
      </c>
      <c r="E8" s="6">
        <v>5713</v>
      </c>
      <c r="F8" s="6">
        <v>9336</v>
      </c>
      <c r="G8" s="6">
        <v>12562</v>
      </c>
      <c r="H8" s="17">
        <f t="shared" si="0"/>
        <v>42246</v>
      </c>
      <c r="I8" s="18">
        <f t="shared" si="1"/>
        <v>0.10006459354449282</v>
      </c>
    </row>
    <row r="9" spans="2:9" x14ac:dyDescent="0.3">
      <c r="B9" s="9" t="s">
        <v>22</v>
      </c>
      <c r="C9" s="10">
        <v>9912.2099999999991</v>
      </c>
      <c r="D9" s="10">
        <v>12900</v>
      </c>
      <c r="E9" s="10">
        <v>10233.75</v>
      </c>
      <c r="F9" s="10">
        <v>12800</v>
      </c>
      <c r="G9" s="10">
        <v>10000</v>
      </c>
      <c r="H9" s="19">
        <f t="shared" si="0"/>
        <v>55845.96</v>
      </c>
      <c r="I9" s="20">
        <f t="shared" si="1"/>
        <v>2.2068721783656819E-3</v>
      </c>
    </row>
    <row r="10" spans="2:9" x14ac:dyDescent="0.3">
      <c r="B10" s="5" t="s">
        <v>23</v>
      </c>
      <c r="C10" s="6">
        <v>36322</v>
      </c>
      <c r="D10" s="6">
        <v>37383</v>
      </c>
      <c r="E10" s="6">
        <v>38750.050000000003</v>
      </c>
      <c r="F10" s="6">
        <v>37383</v>
      </c>
      <c r="G10" s="6">
        <v>37500</v>
      </c>
      <c r="H10" s="17">
        <f t="shared" si="0"/>
        <v>187338.05</v>
      </c>
      <c r="I10" s="18">
        <f t="shared" si="1"/>
        <v>8.0112483557646108E-3</v>
      </c>
    </row>
    <row r="11" spans="2:9" x14ac:dyDescent="0.3">
      <c r="B11" s="9" t="s">
        <v>24</v>
      </c>
      <c r="C11" s="10">
        <v>8000</v>
      </c>
      <c r="D11" s="10">
        <v>9235</v>
      </c>
      <c r="E11" s="10">
        <v>7680</v>
      </c>
      <c r="F11" s="10">
        <v>6100</v>
      </c>
      <c r="G11" s="10">
        <v>7680</v>
      </c>
      <c r="H11" s="19">
        <f t="shared" si="0"/>
        <v>38695</v>
      </c>
      <c r="I11" s="20">
        <f t="shared" si="1"/>
        <v>-1.015359923204695E-2</v>
      </c>
    </row>
    <row r="12" spans="2:9" x14ac:dyDescent="0.3">
      <c r="B12" s="5" t="s">
        <v>25</v>
      </c>
      <c r="C12" s="6">
        <v>15000</v>
      </c>
      <c r="D12" s="6">
        <v>19500</v>
      </c>
      <c r="E12" s="6">
        <v>15000</v>
      </c>
      <c r="F12" s="6">
        <v>19000</v>
      </c>
      <c r="G12" s="6">
        <v>17000</v>
      </c>
      <c r="H12" s="17">
        <f t="shared" si="0"/>
        <v>85500</v>
      </c>
      <c r="I12" s="18">
        <f t="shared" si="1"/>
        <v>3.1785488774073611E-2</v>
      </c>
    </row>
    <row r="13" spans="2:9" x14ac:dyDescent="0.3">
      <c r="B13" s="9" t="s">
        <v>26</v>
      </c>
      <c r="C13" s="10">
        <v>228.28</v>
      </c>
      <c r="D13" s="10">
        <v>328.77</v>
      </c>
      <c r="E13" s="10">
        <v>340</v>
      </c>
      <c r="F13" s="10">
        <v>593.03</v>
      </c>
      <c r="G13" s="10">
        <v>880</v>
      </c>
      <c r="H13" s="19">
        <f t="shared" si="0"/>
        <v>2370.08</v>
      </c>
      <c r="I13" s="20">
        <f t="shared" si="1"/>
        <v>0.40121152927480175</v>
      </c>
    </row>
    <row r="14" spans="2:9" x14ac:dyDescent="0.3">
      <c r="B14" s="5" t="s">
        <v>27</v>
      </c>
      <c r="C14" s="6">
        <v>75.05</v>
      </c>
      <c r="D14" s="6">
        <v>100</v>
      </c>
      <c r="E14" s="6">
        <v>120</v>
      </c>
      <c r="F14" s="6">
        <v>283.5</v>
      </c>
      <c r="G14" s="6">
        <v>175</v>
      </c>
      <c r="H14" s="17">
        <f t="shared" si="0"/>
        <v>753.55</v>
      </c>
      <c r="I14" s="18">
        <f t="shared" si="1"/>
        <v>0.23572501432192139</v>
      </c>
    </row>
    <row r="15" spans="2:9" x14ac:dyDescent="0.3">
      <c r="B15" s="13" t="s">
        <v>38</v>
      </c>
      <c r="C15" s="14">
        <f t="shared" ref="C15:H15" si="2">SUM(C6:C14)</f>
        <v>90135.54</v>
      </c>
      <c r="D15" s="14">
        <f t="shared" si="2"/>
        <v>107525.77</v>
      </c>
      <c r="E15" s="14">
        <f t="shared" si="2"/>
        <v>106794.8</v>
      </c>
      <c r="F15" s="14">
        <f t="shared" si="2"/>
        <v>139907.53</v>
      </c>
      <c r="G15" s="14">
        <f t="shared" si="2"/>
        <v>118100.03</v>
      </c>
      <c r="H15" s="14">
        <f t="shared" si="2"/>
        <v>562463.67000000004</v>
      </c>
    </row>
  </sheetData>
  <autoFilter ref="B5:I15" xr:uid="{00000000-0009-0000-0000-000003000000}"/>
  <mergeCells count="2">
    <mergeCell ref="B2:I2"/>
    <mergeCell ref="B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40" customWidth="1"/>
    <col min="3" max="7" width="14" customWidth="1"/>
    <col min="8" max="8" width="16" customWidth="1"/>
    <col min="9" max="9" width="18" customWidth="1"/>
  </cols>
  <sheetData>
    <row r="2" spans="2:9" ht="25.5" customHeight="1" x14ac:dyDescent="0.3">
      <c r="B2" s="3" t="s">
        <v>72</v>
      </c>
      <c r="C2" s="3"/>
      <c r="D2" s="3"/>
      <c r="E2" s="3"/>
      <c r="F2" s="3"/>
      <c r="G2" s="3"/>
      <c r="H2" s="3"/>
      <c r="I2" s="3"/>
    </row>
    <row r="3" spans="2:9" x14ac:dyDescent="0.3">
      <c r="B3" s="2" t="s">
        <v>35</v>
      </c>
      <c r="C3" s="2"/>
      <c r="D3" s="2"/>
      <c r="E3" s="2"/>
      <c r="F3" s="2"/>
      <c r="G3" s="2"/>
      <c r="H3" s="2"/>
      <c r="I3" s="2"/>
    </row>
    <row r="5" spans="2:9" ht="30" customHeight="1" x14ac:dyDescent="0.3">
      <c r="B5" s="4" t="s">
        <v>73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36</v>
      </c>
      <c r="I5" s="4" t="s">
        <v>41</v>
      </c>
    </row>
    <row r="6" spans="2:9" x14ac:dyDescent="0.3">
      <c r="B6" s="5" t="s">
        <v>74</v>
      </c>
      <c r="C6" s="6">
        <v>598714</v>
      </c>
      <c r="D6" s="6">
        <v>3011142</v>
      </c>
      <c r="E6" s="6">
        <v>72000</v>
      </c>
      <c r="F6" s="6">
        <v>570365</v>
      </c>
      <c r="G6" s="6">
        <v>598714</v>
      </c>
      <c r="H6" s="17">
        <f t="shared" ref="H6:H13" si="0">SUM(C6:G6)</f>
        <v>4850935</v>
      </c>
      <c r="I6" s="18">
        <f t="shared" ref="I6:I13" si="1">IFERROR((G6-C6)/C6,"")</f>
        <v>0</v>
      </c>
    </row>
    <row r="7" spans="2:9" x14ac:dyDescent="0.3">
      <c r="B7" s="9" t="s">
        <v>75</v>
      </c>
      <c r="C7" s="10">
        <v>475312</v>
      </c>
      <c r="D7" s="10">
        <v>513810</v>
      </c>
      <c r="E7" s="10">
        <v>5186</v>
      </c>
      <c r="F7" s="10">
        <v>6513</v>
      </c>
      <c r="G7" s="10">
        <v>6678</v>
      </c>
      <c r="H7" s="19">
        <f t="shared" si="0"/>
        <v>1007499</v>
      </c>
      <c r="I7" s="20">
        <f t="shared" si="1"/>
        <v>-0.98595028107853366</v>
      </c>
    </row>
    <row r="8" spans="2:9" x14ac:dyDescent="0.3">
      <c r="B8" s="5" t="s">
        <v>76</v>
      </c>
      <c r="C8" s="6">
        <v>60000</v>
      </c>
      <c r="D8" s="6">
        <v>65000</v>
      </c>
      <c r="E8" s="6">
        <v>69000</v>
      </c>
      <c r="F8" s="6">
        <v>75800</v>
      </c>
      <c r="G8" s="6">
        <v>76000</v>
      </c>
      <c r="H8" s="17">
        <f t="shared" si="0"/>
        <v>345800</v>
      </c>
      <c r="I8" s="18">
        <f t="shared" si="1"/>
        <v>0.26666666666666666</v>
      </c>
    </row>
    <row r="9" spans="2:9" x14ac:dyDescent="0.3">
      <c r="B9" s="9" t="s">
        <v>77</v>
      </c>
      <c r="C9" s="10">
        <v>3207</v>
      </c>
      <c r="D9" s="10">
        <v>4100</v>
      </c>
      <c r="E9" s="10">
        <v>5123</v>
      </c>
      <c r="F9" s="10">
        <v>5800</v>
      </c>
      <c r="G9" s="10">
        <v>6230</v>
      </c>
      <c r="H9" s="19">
        <f t="shared" si="0"/>
        <v>24460</v>
      </c>
      <c r="I9" s="20">
        <f t="shared" si="1"/>
        <v>0.94262550670408485</v>
      </c>
    </row>
    <row r="10" spans="2:9" x14ac:dyDescent="0.3">
      <c r="B10" s="5" t="s">
        <v>78</v>
      </c>
      <c r="C10" s="6">
        <v>88911</v>
      </c>
      <c r="D10" s="6">
        <v>4844458</v>
      </c>
      <c r="E10" s="6">
        <v>108621</v>
      </c>
      <c r="F10" s="6">
        <v>118500</v>
      </c>
      <c r="G10" s="6">
        <v>138710</v>
      </c>
      <c r="H10" s="17">
        <f t="shared" si="0"/>
        <v>5299200</v>
      </c>
      <c r="I10" s="18">
        <f t="shared" si="1"/>
        <v>0.56009942526796463</v>
      </c>
    </row>
    <row r="11" spans="2:9" x14ac:dyDescent="0.3">
      <c r="B11" s="9" t="s">
        <v>79</v>
      </c>
      <c r="C11" s="10">
        <v>6000</v>
      </c>
      <c r="D11" s="10">
        <v>237374</v>
      </c>
      <c r="E11" s="10">
        <v>506047</v>
      </c>
      <c r="F11" s="10">
        <v>286903</v>
      </c>
      <c r="G11" s="10">
        <v>4500</v>
      </c>
      <c r="H11" s="19">
        <f t="shared" si="0"/>
        <v>1040824</v>
      </c>
      <c r="I11" s="20">
        <f t="shared" si="1"/>
        <v>-0.25</v>
      </c>
    </row>
    <row r="12" spans="2:9" x14ac:dyDescent="0.3">
      <c r="B12" s="5" t="s">
        <v>80</v>
      </c>
      <c r="C12" s="6">
        <v>1640</v>
      </c>
      <c r="D12" s="6">
        <v>1638</v>
      </c>
      <c r="E12" s="6">
        <v>1634</v>
      </c>
      <c r="F12" s="6">
        <v>1710</v>
      </c>
      <c r="G12" s="6">
        <v>2268</v>
      </c>
      <c r="H12" s="17">
        <f t="shared" si="0"/>
        <v>8890</v>
      </c>
      <c r="I12" s="18">
        <f t="shared" si="1"/>
        <v>0.38292682926829269</v>
      </c>
    </row>
    <row r="13" spans="2:9" x14ac:dyDescent="0.3">
      <c r="B13" s="9" t="s">
        <v>81</v>
      </c>
      <c r="C13" s="10">
        <v>12700</v>
      </c>
      <c r="D13" s="10">
        <v>12700</v>
      </c>
      <c r="E13" s="10">
        <v>979329</v>
      </c>
      <c r="F13" s="10">
        <v>1069661</v>
      </c>
      <c r="G13" s="10">
        <v>1130778</v>
      </c>
      <c r="H13" s="19">
        <f t="shared" si="0"/>
        <v>3205168</v>
      </c>
      <c r="I13" s="20">
        <f t="shared" si="1"/>
        <v>88.037637795275586</v>
      </c>
    </row>
    <row r="14" spans="2:9" x14ac:dyDescent="0.3">
      <c r="B14" s="13" t="s">
        <v>38</v>
      </c>
      <c r="C14" s="14">
        <f t="shared" ref="C14:H14" si="2">SUM(C6:C13)</f>
        <v>1246484</v>
      </c>
      <c r="D14" s="14">
        <f t="shared" si="2"/>
        <v>8690222</v>
      </c>
      <c r="E14" s="14">
        <f t="shared" si="2"/>
        <v>1746940</v>
      </c>
      <c r="F14" s="14">
        <f t="shared" si="2"/>
        <v>2135252</v>
      </c>
      <c r="G14" s="14">
        <f t="shared" si="2"/>
        <v>1963878</v>
      </c>
      <c r="H14" s="14">
        <f t="shared" si="2"/>
        <v>15782776</v>
      </c>
    </row>
  </sheetData>
  <autoFilter ref="B5:I14" xr:uid="{00000000-0009-0000-0000-000004000000}"/>
  <mergeCells count="2">
    <mergeCell ref="B2:I2"/>
    <mergeCell ref="B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14" customWidth="1"/>
    <col min="3" max="3" width="18" customWidth="1"/>
    <col min="4" max="4" width="24" customWidth="1"/>
    <col min="5" max="5" width="18" customWidth="1"/>
    <col min="6" max="6" width="26" customWidth="1"/>
  </cols>
  <sheetData>
    <row r="2" spans="2:7" ht="25.5" customHeight="1" x14ac:dyDescent="0.3">
      <c r="B2" s="3" t="s">
        <v>82</v>
      </c>
      <c r="C2" s="3"/>
      <c r="D2" s="3"/>
      <c r="E2" s="3"/>
      <c r="F2" s="3"/>
      <c r="G2" s="3"/>
    </row>
    <row r="3" spans="2:7" x14ac:dyDescent="0.3">
      <c r="B3" s="2" t="s">
        <v>83</v>
      </c>
      <c r="C3" s="2"/>
      <c r="D3" s="2"/>
      <c r="E3" s="2"/>
      <c r="F3" s="2"/>
      <c r="G3" s="2"/>
    </row>
    <row r="5" spans="2:7" ht="36" customHeight="1" x14ac:dyDescent="0.3">
      <c r="B5" s="4" t="s">
        <v>29</v>
      </c>
      <c r="C5" s="4" t="s">
        <v>84</v>
      </c>
      <c r="D5" s="4" t="s">
        <v>85</v>
      </c>
      <c r="E5" s="4" t="s">
        <v>86</v>
      </c>
      <c r="F5" s="4" t="s">
        <v>87</v>
      </c>
    </row>
    <row r="6" spans="2:7" x14ac:dyDescent="0.3">
      <c r="B6" s="5" t="s">
        <v>2</v>
      </c>
      <c r="C6" s="21">
        <v>6.1</v>
      </c>
      <c r="D6" s="21">
        <v>3.4</v>
      </c>
      <c r="E6" s="21">
        <v>10.8</v>
      </c>
      <c r="F6" s="21">
        <v>2.4</v>
      </c>
    </row>
    <row r="7" spans="2:7" x14ac:dyDescent="0.3">
      <c r="B7" s="9" t="s">
        <v>3</v>
      </c>
      <c r="C7" s="22">
        <v>4.2</v>
      </c>
      <c r="D7" s="22">
        <v>9.1999999999999993</v>
      </c>
      <c r="E7" s="22">
        <v>10.199999999999999</v>
      </c>
      <c r="F7" s="22">
        <v>7.3</v>
      </c>
    </row>
    <row r="8" spans="2:7" x14ac:dyDescent="0.3">
      <c r="B8" s="5" t="s">
        <v>4</v>
      </c>
      <c r="C8" s="21">
        <v>8.6999999999999993</v>
      </c>
      <c r="D8" s="21">
        <v>6.7</v>
      </c>
      <c r="E8" s="21">
        <v>11.4</v>
      </c>
      <c r="F8" s="21">
        <v>4.4000000000000004</v>
      </c>
    </row>
    <row r="9" spans="2:7" x14ac:dyDescent="0.3">
      <c r="B9" s="9" t="s">
        <v>5</v>
      </c>
      <c r="C9" s="22">
        <v>7.2</v>
      </c>
      <c r="D9" s="22">
        <v>5.8</v>
      </c>
      <c r="E9" s="22">
        <v>11.7</v>
      </c>
      <c r="F9" s="22">
        <v>4.0999999999999996</v>
      </c>
    </row>
    <row r="10" spans="2:7" x14ac:dyDescent="0.3">
      <c r="B10" s="5" t="s">
        <v>6</v>
      </c>
      <c r="C10" s="21">
        <v>6.5</v>
      </c>
      <c r="D10" s="21">
        <v>5.0999999999999996</v>
      </c>
      <c r="E10" s="21">
        <v>11.9</v>
      </c>
      <c r="F10" s="21">
        <v>3.8</v>
      </c>
    </row>
  </sheetData>
  <mergeCells count="2">
    <mergeCell ref="B2:G2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 Summary Dashboard</vt:lpstr>
      <vt:lpstr>1. Ministries</vt:lpstr>
      <vt:lpstr>2. States</vt:lpstr>
      <vt:lpstr>3. Schemes</vt:lpstr>
      <vt:lpstr>4. Union Territories</vt:lpstr>
      <vt:lpstr>5. Macroeconomics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subham shaw</cp:lastModifiedBy>
  <cp:revision>0</cp:revision>
  <dcterms:created xsi:type="dcterms:W3CDTF">2026-05-05T07:25:16Z</dcterms:created>
  <dcterms:modified xsi:type="dcterms:W3CDTF">2026-05-05T07:29:03Z</dcterms:modified>
  <dc:language>en-US</dc:language>
</cp:coreProperties>
</file>